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ost Model" sheetId="3" state="visible" r:id="rId3"/>
    <sheet xmlns:r="http://schemas.openxmlformats.org/officeDocument/2006/relationships" name="Scale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₹&quot;#,##0"/>
    <numFmt numFmtId="165" formatCode="0.0%"/>
    <numFmt numFmtId="166" formatCode="&quot;₹&quot;#,##0.00"/>
  </numFmts>
  <fonts count="10">
    <font>
      <name val="Calibri"/>
      <family val="2"/>
      <color theme="1"/>
      <sz val="11"/>
      <scheme val="minor"/>
    </font>
    <font>
      <b val="1"/>
      <color rgb="00122B49"/>
      <sz val="18"/>
    </font>
    <font>
      <color rgb="00555555"/>
      <sz val="11"/>
    </font>
    <font>
      <b val="1"/>
      <color rgb="00122B49"/>
      <sz val="12"/>
    </font>
    <font>
      <color rgb="001E7D32"/>
    </font>
    <font>
      <b val="1"/>
    </font>
    <font>
      <color rgb="00777777"/>
      <sz val="10"/>
    </font>
    <font>
      <color rgb="000066CC"/>
    </font>
    <font>
      <b val="1"/>
      <color rgb="00FFFFFF"/>
    </font>
    <font>
      <color rgb="00CC0000"/>
    </font>
  </fonts>
  <fills count="3">
    <fill>
      <patternFill/>
    </fill>
    <fill>
      <patternFill patternType="gray125"/>
    </fill>
    <fill>
      <patternFill patternType="solid">
        <fgColor rgb="00122B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7" fillId="0" borderId="0" pivotButton="0" quotePrefix="0" xfId="0"/>
    <xf numFmtId="164" fontId="7" fillId="0" borderId="0" pivotButton="0" quotePrefix="0" xfId="0"/>
    <xf numFmtId="0" fontId="8" fillId="2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AI cost: Gemini vs Hybrid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'Scale'!C4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'Scale'!$B$5:$B$10</f>
            </numRef>
          </cat>
          <val>
            <numRef>
              <f>'Scale'!$C$5:$C$10</f>
            </numRef>
          </val>
        </ser>
        <ser>
          <idx val="1"/>
          <order val="1"/>
          <tx>
            <strRef>
              <f>'Scale'!D4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'Scale'!$B$5:$B$10</f>
            </numRef>
          </cat>
          <val>
            <numRef>
              <f>'Scale'!$D$5:$D$10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per month (Hybrid, 15% growth)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'Scale'!F33</f>
            </strRef>
          </tx>
          <spPr>
            <a:ln xmlns:a="http://schemas.openxmlformats.org/drawingml/2006/main">
              <a:prstDash val="solid"/>
            </a:ln>
          </spPr>
          <cat>
            <numRef>
              <f>'Scale'!$B$34:$B$45</f>
            </numRef>
          </cat>
          <val>
            <numRef>
              <f>'Scale'!$F$34:$F$45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47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1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40" customWidth="1" min="2" max="2"/>
    <col width="22" customWidth="1" min="3" max="3"/>
    <col width="22" customWidth="1" min="4" max="4"/>
    <col width="22" customWidth="1" min="5" max="5"/>
    <col width="14" customWidth="1" min="6" max="6"/>
  </cols>
  <sheetData>
    <row r="2" ht="30" customHeight="1">
      <c r="B2" s="1" t="inlineStr">
        <is>
          <t>Acrowell AI Assistant — Cost &amp; Pricing Model</t>
        </is>
      </c>
    </row>
    <row r="4">
      <c r="B4" s="2" t="inlineStr">
        <is>
          <t>Editable cost model: Gemini-only vs Hybrid (Qwen3-30B text + Gemma-4-26B vision). Change inputs on the Inputs sheet — everything recalculates.</t>
        </is>
      </c>
    </row>
    <row r="6">
      <c r="B6" s="3" t="inlineStr">
        <is>
          <t>Key results (at default inputs)</t>
        </is>
      </c>
    </row>
    <row r="7">
      <c r="B7" t="inlineStr">
        <is>
          <t>All-Gemini cost / user / month</t>
        </is>
      </c>
      <c r="C7" s="4">
        <f>'Cost Model'!C14</f>
        <v/>
      </c>
    </row>
    <row r="8">
      <c r="B8" t="inlineStr">
        <is>
          <t>Hybrid cost / user / month</t>
        </is>
      </c>
      <c r="C8" s="4">
        <f>'Cost Model'!D14</f>
        <v/>
      </c>
    </row>
    <row r="9">
      <c r="B9" t="inlineStr">
        <is>
          <t>50-rep company / month (Hybrid)</t>
        </is>
      </c>
      <c r="C9" s="4">
        <f>'Cost Model'!D16</f>
        <v/>
      </c>
    </row>
    <row r="10">
      <c r="B10" t="inlineStr">
        <is>
          <t>Monthly savings vs Gemini (50 reps)</t>
        </is>
      </c>
      <c r="C10" s="4">
        <f>'Cost Model'!E18</f>
        <v/>
      </c>
    </row>
    <row r="11">
      <c r="B11" t="inlineStr">
        <is>
          <t>Margin at list price (Hybrid)</t>
        </is>
      </c>
      <c r="C11" s="5">
        <f>'Cost Model'!D21</f>
        <v/>
      </c>
    </row>
    <row r="14">
      <c r="B14" s="3" t="inlineStr">
        <is>
          <t>Sheet index</t>
        </is>
      </c>
    </row>
    <row r="15">
      <c r="B15" s="6" t="inlineStr">
        <is>
          <t>Inputs</t>
        </is>
      </c>
      <c r="C15" t="inlineStr">
        <is>
          <t>All editable assumptions (blue cells) — usage, tokens, model rates, pricing</t>
        </is>
      </c>
    </row>
    <row r="16">
      <c r="B16" s="6" t="inlineStr">
        <is>
          <t>Cost Model</t>
        </is>
      </c>
      <c r="C16" t="inlineStr">
        <is>
          <t>Per-message → per-user → per-company costs, margins, free-tier offset</t>
        </is>
      </c>
    </row>
    <row r="17">
      <c r="B17" s="6" t="inlineStr">
        <is>
          <t>Scale</t>
        </is>
      </c>
      <c r="C17" t="inlineStr">
        <is>
          <t>Cost / revenue / profit from 10 to 500 reps + 12-month projection</t>
        </is>
      </c>
    </row>
    <row r="18">
      <c r="B18" s="6" t="inlineStr">
        <is>
          <t>Sources</t>
        </is>
      </c>
      <c r="C18" t="inlineStr">
        <is>
          <t>Pricing data sources (July 2026)</t>
        </is>
      </c>
    </row>
    <row r="21">
      <c r="B21" s="7" t="inlineStr">
        <is>
          <t>Blue = input you can edit · Black = formula · Green = cross-sheet reference · Red = external data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0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44" customWidth="1" min="2" max="2"/>
    <col width="16" customWidth="1" min="3" max="3"/>
    <col width="30" customWidth="1" min="4" max="4"/>
  </cols>
  <sheetData>
    <row r="2" ht="30" customHeight="1">
      <c r="B2" s="8" t="inlineStr">
        <is>
          <t>Inputs &amp; Assumptions (edit blue cells)</t>
        </is>
      </c>
    </row>
    <row r="4">
      <c r="B4" s="3" t="inlineStr">
        <is>
          <t>Usage</t>
        </is>
      </c>
    </row>
    <row r="5">
      <c r="B5" t="inlineStr">
        <is>
          <t>Messages per user per day</t>
        </is>
      </c>
      <c r="C5" s="9" t="n">
        <v>400</v>
      </c>
    </row>
    <row r="6">
      <c r="B6" t="inlineStr">
        <is>
          <t>Share of messages that are bill PDFs</t>
        </is>
      </c>
      <c r="C6" s="10" t="n">
        <v>0.5</v>
      </c>
      <c r="D6" s="7" t="inlineStr">
        <is>
          <t>order extraction via photo/PDF</t>
        </is>
      </c>
    </row>
    <row r="7">
      <c r="B7" t="inlineStr">
        <is>
          <t>Reps (users)</t>
        </is>
      </c>
      <c r="C7" s="9" t="n">
        <v>50</v>
      </c>
    </row>
    <row r="8">
      <c r="B8" t="inlineStr">
        <is>
          <t>Billing days per month</t>
        </is>
      </c>
      <c r="C8" s="9" t="n">
        <v>30</v>
      </c>
    </row>
    <row r="10">
      <c r="B10" s="3" t="inlineStr">
        <is>
          <t>Token profile per message</t>
        </is>
      </c>
    </row>
    <row r="11">
      <c r="B11" t="inlineStr">
        <is>
          <t>Cached prefix tokens (system prompt + 31 tools)</t>
        </is>
      </c>
      <c r="C11" s="9" t="n">
        <v>2360</v>
      </c>
    </row>
    <row r="12">
      <c r="B12" t="inlineStr">
        <is>
          <t>Fresh input tokens — text message</t>
        </is>
      </c>
      <c r="C12" s="9" t="n">
        <v>150</v>
      </c>
      <c r="D12" s="7" t="inlineStr">
        <is>
          <t>user msg + history + vocab</t>
        </is>
      </c>
    </row>
    <row r="13">
      <c r="B13" t="inlineStr">
        <is>
          <t>Output tokens — text intent JSON</t>
        </is>
      </c>
      <c r="C13" s="9" t="n">
        <v>80</v>
      </c>
    </row>
    <row r="14">
      <c r="B14" t="inlineStr">
        <is>
          <t>Image tokens per bill PDF page</t>
        </is>
      </c>
      <c r="C14" s="9" t="n">
        <v>1000</v>
      </c>
      <c r="D14" s="7" t="inlineStr">
        <is>
          <t>after 1024px downscale</t>
        </is>
      </c>
    </row>
    <row r="15">
      <c r="B15" t="inlineStr">
        <is>
          <t>Output tokens — PDF order JSON</t>
        </is>
      </c>
      <c r="C15" s="9" t="n">
        <v>400</v>
      </c>
    </row>
    <row r="17">
      <c r="B17" s="3" t="inlineStr">
        <is>
          <t>Model rates ($ per 1M tokens)</t>
        </is>
      </c>
    </row>
    <row r="18">
      <c r="B18" s="6" t="inlineStr">
        <is>
          <t>Model</t>
        </is>
      </c>
      <c r="C18" s="6" t="inlineStr">
        <is>
          <t>Input $/M</t>
        </is>
      </c>
      <c r="D18" s="6" t="inlineStr">
        <is>
          <t>Cached in $/M</t>
        </is>
      </c>
      <c r="E18" s="6" t="inlineStr">
        <is>
          <t>Output $/M</t>
        </is>
      </c>
    </row>
    <row r="19">
      <c r="B19" t="inlineStr">
        <is>
          <t>Gemini 3.1 Flash-Lite</t>
        </is>
      </c>
      <c r="C19" s="9" t="n">
        <v>0.25</v>
      </c>
      <c r="D19" s="9" t="n">
        <v>0.025</v>
      </c>
      <c r="E19" s="9" t="n">
        <v>1.5</v>
      </c>
    </row>
    <row r="20">
      <c r="B20" t="inlineStr">
        <is>
          <t>Qwen3-30B-A3B (Workers AI)</t>
        </is>
      </c>
      <c r="C20" s="9" t="n">
        <v>0.051</v>
      </c>
      <c r="D20" t="inlineStr">
        <is>
          <t>—</t>
        </is>
      </c>
      <c r="E20" s="9" t="n">
        <v>0.335</v>
      </c>
    </row>
    <row r="21">
      <c r="B21" t="inlineStr">
        <is>
          <t>Gemma-4-26B (Workers AI, vision)</t>
        </is>
      </c>
      <c r="C21" s="9" t="n">
        <v>0.1</v>
      </c>
      <c r="D21" t="inlineStr">
        <is>
          <t>—</t>
        </is>
      </c>
      <c r="E21" s="9" t="n">
        <v>0.3</v>
      </c>
    </row>
    <row r="23">
      <c r="B23" s="3" t="inlineStr">
        <is>
          <t>Cloudflare free tier</t>
        </is>
      </c>
    </row>
    <row r="24">
      <c r="B24" t="inlineStr">
        <is>
          <t>Free neurons per day</t>
        </is>
      </c>
      <c r="C24" s="9" t="n">
        <v>14000</v>
      </c>
    </row>
    <row r="25">
      <c r="B25" t="inlineStr">
        <is>
          <t>Qwen neurons per text msg</t>
        </is>
      </c>
      <c r="C25" s="9" t="n">
        <v>14</v>
      </c>
      <c r="D25" s="7" t="inlineStr">
        <is>
          <t>4625/M in + 30475/M out</t>
        </is>
      </c>
    </row>
    <row r="26">
      <c r="B26" t="inlineStr">
        <is>
          <t>Gemma neurons per PDF msg</t>
        </is>
      </c>
      <c r="C26" s="9" t="n">
        <v>43</v>
      </c>
      <c r="D26" s="7" t="inlineStr">
        <is>
          <t>9091/M in + 27273/M out</t>
        </is>
      </c>
    </row>
    <row r="28">
      <c r="B28" s="3" t="inlineStr">
        <is>
          <t>Pricing &amp; FX</t>
        </is>
      </c>
    </row>
    <row r="29">
      <c r="B29" t="inlineStr">
        <is>
          <t>List price per user per month (₹)</t>
        </is>
      </c>
      <c r="C29" s="11" t="n">
        <v>999</v>
      </c>
    </row>
    <row r="30">
      <c r="B30" t="inlineStr">
        <is>
          <t>INR per USD</t>
        </is>
      </c>
      <c r="C30" s="9" t="n">
        <v>90</v>
      </c>
    </row>
  </sheetData>
  <mergeCells count="1"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22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46" customWidth="1" min="2" max="2"/>
    <col width="18" customWidth="1" min="3" max="3"/>
    <col width="18" customWidth="1" min="4" max="4"/>
    <col width="18" customWidth="1" min="5" max="5"/>
  </cols>
  <sheetData>
    <row r="2" ht="30" customHeight="1">
      <c r="B2" s="8" t="inlineStr">
        <is>
          <t>Cost Model — Gemini-only vs Hybrid</t>
        </is>
      </c>
    </row>
    <row r="4">
      <c r="B4" s="12" t="inlineStr">
        <is>
          <t>Metric</t>
        </is>
      </c>
      <c r="C4" s="12" t="inlineStr">
        <is>
          <t>All-Gemini</t>
        </is>
      </c>
      <c r="D4" s="12" t="inlineStr">
        <is>
          <t>Hybrid (Qwen+Gemma)</t>
        </is>
      </c>
      <c r="E4" s="12" t="inlineStr">
        <is>
          <t>Notes</t>
        </is>
      </c>
    </row>
    <row r="5">
      <c r="B5" t="inlineStr">
        <is>
          <t>Cost per text message (₹)</t>
        </is>
      </c>
      <c r="C5" s="13">
        <f>(Inputs!C11*Inputs!D19+Inputs!C12*Inputs!C19+Inputs!C13*Inputs!E19)/1000000*Inputs!C30</f>
        <v/>
      </c>
      <c r="D5" s="13">
        <f>((Inputs!C11+Inputs!C12)*Inputs!C20+Inputs!C13*Inputs!E20)/1000000*Inputs!C30</f>
        <v/>
      </c>
      <c r="E5" t="inlineStr">
        <is>
          <t>cached prefix at 10% rate on Gemini</t>
        </is>
      </c>
    </row>
    <row r="6">
      <c r="B6" t="inlineStr">
        <is>
          <t>Cost per PDF order message (₹)</t>
        </is>
      </c>
      <c r="C6" s="13">
        <f>(Inputs!C11*Inputs!D19+(Inputs!C12+Inputs!C14)*Inputs!C19+Inputs!C15*Inputs!E19)/1000000*Inputs!C30</f>
        <v/>
      </c>
      <c r="D6" s="13">
        <f>((Inputs!C11+Inputs!C12+Inputs!C14)*Inputs!C21+Inputs!C15*Inputs!E21)/1000000*Inputs!C30</f>
        <v/>
      </c>
      <c r="E6" t="inlineStr">
        <is>
          <t>image tokens never cached</t>
        </is>
      </c>
    </row>
    <row r="7"/>
    <row r="8">
      <c r="B8" s="3" t="inlineStr">
        <is>
          <t>Per user per day (₹)</t>
        </is>
      </c>
    </row>
    <row r="9">
      <c r="B9" t="inlineStr">
        <is>
          <t>Text messages (₹)</t>
        </is>
      </c>
      <c r="C9" s="13">
        <f>C5*Inputs!C5*(1-Inputs!C6)</f>
        <v/>
      </c>
      <c r="D9" s="13">
        <f>D5*Inputs!C5*(1-Inputs!C6)</f>
        <v/>
      </c>
    </row>
    <row r="10">
      <c r="B10" t="inlineStr">
        <is>
          <t>PDF messages (₹)</t>
        </is>
      </c>
      <c r="C10" s="13">
        <f>C6*Inputs!C5*Inputs!C6</f>
        <v/>
      </c>
      <c r="D10" s="13">
        <f>D6*Inputs!C5*Inputs!C6</f>
        <v/>
      </c>
    </row>
    <row r="11">
      <c r="B11" t="inlineStr">
        <is>
          <t>Free-tier offset (₹)</t>
        </is>
      </c>
      <c r="C11" s="13" t="n">
        <v>0</v>
      </c>
      <c r="D11" s="13">
        <f>-MIN(1,Inputs!C24/(Inputs!C7*(Inputs!C5*(1-Inputs!C6)*Inputs!C25+Inputs!C5*Inputs!C6*Inputs!C26)))*(D9+D10)</f>
        <v/>
      </c>
      <c r="E11" t="inlineStr">
        <is>
          <t>free neurons cover this share of daily use</t>
        </is>
      </c>
    </row>
    <row r="12">
      <c r="B12" s="6" t="inlineStr">
        <is>
          <t>Total per user per day (₹)</t>
        </is>
      </c>
      <c r="C12" s="13">
        <f>C9+C10+C11</f>
        <v/>
      </c>
      <c r="D12" s="13">
        <f>D9+D10+D11</f>
        <v/>
      </c>
    </row>
    <row r="13"/>
    <row r="14">
      <c r="B14" s="6" t="inlineStr">
        <is>
          <t>Per user per month (₹)</t>
        </is>
      </c>
      <c r="C14" s="14">
        <f>C12*Inputs!C8</f>
        <v/>
      </c>
      <c r="D14" s="14">
        <f>D12*Inputs!C8</f>
        <v/>
      </c>
    </row>
    <row r="15"/>
    <row r="16">
      <c r="B16" s="6" t="inlineStr">
        <is>
          <t>Company per month (₹)</t>
        </is>
      </c>
      <c r="C16" s="14">
        <f>C14*Inputs!C7</f>
        <v/>
      </c>
      <c r="D16" s="14">
        <f>D14*Inputs!C7</f>
        <v/>
      </c>
    </row>
    <row r="17"/>
    <row r="18">
      <c r="B18" s="6" t="inlineStr">
        <is>
          <t>Savings vs Gemini / month (₹)</t>
        </is>
      </c>
      <c r="E18" s="14">
        <f>C16-D16</f>
        <v/>
      </c>
    </row>
    <row r="19">
      <c r="B19" t="inlineStr">
        <is>
          <t>Savings %</t>
        </is>
      </c>
      <c r="E19" s="15">
        <f>E18/C16</f>
        <v/>
      </c>
    </row>
    <row r="20"/>
    <row r="21">
      <c r="B21" t="inlineStr">
        <is>
          <t>Margin at list price (Hybrid)</t>
        </is>
      </c>
      <c r="D21" s="15">
        <f>(Inputs!C29-D14)/Inputs!C29</f>
        <v/>
      </c>
    </row>
    <row r="22">
      <c r="B22" t="inlineStr">
        <is>
          <t>Profit per company / month (₹)</t>
        </is>
      </c>
      <c r="C22" s="14">
        <f>(Inputs!C29-C14)*Inputs!C7</f>
        <v/>
      </c>
      <c r="D22" s="14">
        <f>(Inputs!C29-D14)*Inputs!C7</f>
        <v/>
      </c>
    </row>
  </sheetData>
  <mergeCells count="1"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45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 ht="30" customHeight="1">
      <c r="B2" s="8" t="inlineStr">
        <is>
          <t>Scale — monthly cost, revenue, profit by company size</t>
        </is>
      </c>
    </row>
    <row r="4">
      <c r="B4" s="12" t="inlineStr">
        <is>
          <t>Reps</t>
        </is>
      </c>
      <c r="C4" s="12" t="inlineStr">
        <is>
          <t>Gemini cost ₹/mo</t>
        </is>
      </c>
      <c r="D4" s="12" t="inlineStr">
        <is>
          <t>Hybrid cost ₹/mo</t>
        </is>
      </c>
      <c r="E4" s="12" t="inlineStr">
        <is>
          <t>Revenue ₹/mo</t>
        </is>
      </c>
      <c r="F4" s="12" t="inlineStr">
        <is>
          <t>Profit (Hybrid) ₹/mo</t>
        </is>
      </c>
      <c r="G4" s="12" t="inlineStr">
        <is>
          <t>Margin %</t>
        </is>
      </c>
    </row>
    <row r="5">
      <c r="B5" s="9" t="n">
        <v>10</v>
      </c>
      <c r="C5" s="4">
        <f>'Cost Model'!C14*B5</f>
        <v/>
      </c>
      <c r="D5" s="4">
        <f>'Cost Model'!D14*B5</f>
        <v/>
      </c>
      <c r="E5" s="14">
        <f>Inputs!C29*B5</f>
        <v/>
      </c>
      <c r="F5" s="14">
        <f>E5-D5</f>
        <v/>
      </c>
      <c r="G5" s="15">
        <f>F5/E5</f>
        <v/>
      </c>
    </row>
    <row r="6">
      <c r="B6" s="9" t="n">
        <v>25</v>
      </c>
      <c r="C6" s="4">
        <f>'Cost Model'!C14*B6</f>
        <v/>
      </c>
      <c r="D6" s="4">
        <f>'Cost Model'!D14*B6</f>
        <v/>
      </c>
      <c r="E6" s="14">
        <f>Inputs!C29*B6</f>
        <v/>
      </c>
      <c r="F6" s="14">
        <f>E6-D6</f>
        <v/>
      </c>
      <c r="G6" s="15">
        <f>F6/E6</f>
        <v/>
      </c>
    </row>
    <row r="7">
      <c r="B7" s="9" t="n">
        <v>50</v>
      </c>
      <c r="C7" s="4">
        <f>'Cost Model'!C14*B7</f>
        <v/>
      </c>
      <c r="D7" s="4">
        <f>'Cost Model'!D14*B7</f>
        <v/>
      </c>
      <c r="E7" s="14">
        <f>Inputs!C29*B7</f>
        <v/>
      </c>
      <c r="F7" s="14">
        <f>E7-D7</f>
        <v/>
      </c>
      <c r="G7" s="15">
        <f>F7/E7</f>
        <v/>
      </c>
    </row>
    <row r="8">
      <c r="B8" s="9" t="n">
        <v>100</v>
      </c>
      <c r="C8" s="4">
        <f>'Cost Model'!C14*B8</f>
        <v/>
      </c>
      <c r="D8" s="4">
        <f>'Cost Model'!D14*B8</f>
        <v/>
      </c>
      <c r="E8" s="14">
        <f>Inputs!C29*B8</f>
        <v/>
      </c>
      <c r="F8" s="14">
        <f>E8-D8</f>
        <v/>
      </c>
      <c r="G8" s="15">
        <f>F8/E8</f>
        <v/>
      </c>
    </row>
    <row r="9">
      <c r="B9" s="9" t="n">
        <v>250</v>
      </c>
      <c r="C9" s="4">
        <f>'Cost Model'!C14*B9</f>
        <v/>
      </c>
      <c r="D9" s="4">
        <f>'Cost Model'!D14*B9</f>
        <v/>
      </c>
      <c r="E9" s="14">
        <f>Inputs!C29*B9</f>
        <v/>
      </c>
      <c r="F9" s="14">
        <f>E9-D9</f>
        <v/>
      </c>
      <c r="G9" s="15">
        <f>F9/E9</f>
        <v/>
      </c>
    </row>
    <row r="10">
      <c r="B10" s="9" t="n">
        <v>500</v>
      </c>
      <c r="C10" s="4">
        <f>'Cost Model'!C14*B10</f>
        <v/>
      </c>
      <c r="D10" s="4">
        <f>'Cost Model'!D14*B10</f>
        <v/>
      </c>
      <c r="E10" s="14">
        <f>Inputs!C29*B10</f>
        <v/>
      </c>
      <c r="F10" s="14">
        <f>E10-D10</f>
        <v/>
      </c>
      <c r="G10" s="15">
        <f>F10/E10</f>
        <v/>
      </c>
    </row>
    <row r="32">
      <c r="B32" s="3" t="inlineStr">
        <is>
          <t>12-month projection (Hybrid, starting reps, +15% growth/mo)</t>
        </is>
      </c>
    </row>
    <row r="33">
      <c r="B33" s="12" t="inlineStr">
        <is>
          <t>Month</t>
        </is>
      </c>
      <c r="C33" s="12" t="inlineStr">
        <is>
          <t>Reps</t>
        </is>
      </c>
      <c r="D33" s="12" t="inlineStr">
        <is>
          <t>Cost ₹</t>
        </is>
      </c>
      <c r="E33" s="12" t="inlineStr">
        <is>
          <t>Revenue ₹</t>
        </is>
      </c>
      <c r="F33" s="12" t="inlineStr">
        <is>
          <t>Profit ₹</t>
        </is>
      </c>
    </row>
    <row r="34">
      <c r="B34" t="n">
        <v>1</v>
      </c>
      <c r="C34" s="16">
        <f>Inputs!C7</f>
        <v/>
      </c>
      <c r="D34" s="4">
        <f>'Cost Model'!D14*C34</f>
        <v/>
      </c>
      <c r="E34" s="14">
        <f>Inputs!C29*C34</f>
        <v/>
      </c>
      <c r="F34" s="14">
        <f>E34-D34</f>
        <v/>
      </c>
    </row>
    <row r="35">
      <c r="B35" t="n">
        <v>2</v>
      </c>
      <c r="C35">
        <f>ROUND(C34*1.15,0)</f>
        <v/>
      </c>
      <c r="D35" s="4">
        <f>'Cost Model'!D14*C35</f>
        <v/>
      </c>
      <c r="E35" s="14">
        <f>Inputs!C29*C35</f>
        <v/>
      </c>
      <c r="F35" s="14">
        <f>E35-D35</f>
        <v/>
      </c>
    </row>
    <row r="36">
      <c r="B36" t="n">
        <v>3</v>
      </c>
      <c r="C36">
        <f>ROUND(C35*1.15,0)</f>
        <v/>
      </c>
      <c r="D36" s="4">
        <f>'Cost Model'!D14*C36</f>
        <v/>
      </c>
      <c r="E36" s="14">
        <f>Inputs!C29*C36</f>
        <v/>
      </c>
      <c r="F36" s="14">
        <f>E36-D36</f>
        <v/>
      </c>
    </row>
    <row r="37">
      <c r="B37" t="n">
        <v>4</v>
      </c>
      <c r="C37">
        <f>ROUND(C36*1.15,0)</f>
        <v/>
      </c>
      <c r="D37" s="4">
        <f>'Cost Model'!D14*C37</f>
        <v/>
      </c>
      <c r="E37" s="14">
        <f>Inputs!C29*C37</f>
        <v/>
      </c>
      <c r="F37" s="14">
        <f>E37-D37</f>
        <v/>
      </c>
    </row>
    <row r="38">
      <c r="B38" t="n">
        <v>5</v>
      </c>
      <c r="C38">
        <f>ROUND(C37*1.15,0)</f>
        <v/>
      </c>
      <c r="D38" s="4">
        <f>'Cost Model'!D14*C38</f>
        <v/>
      </c>
      <c r="E38" s="14">
        <f>Inputs!C29*C38</f>
        <v/>
      </c>
      <c r="F38" s="14">
        <f>E38-D38</f>
        <v/>
      </c>
    </row>
    <row r="39">
      <c r="B39" t="n">
        <v>6</v>
      </c>
      <c r="C39">
        <f>ROUND(C38*1.15,0)</f>
        <v/>
      </c>
      <c r="D39" s="4">
        <f>'Cost Model'!D14*C39</f>
        <v/>
      </c>
      <c r="E39" s="14">
        <f>Inputs!C29*C39</f>
        <v/>
      </c>
      <c r="F39" s="14">
        <f>E39-D39</f>
        <v/>
      </c>
    </row>
    <row r="40">
      <c r="B40" t="n">
        <v>7</v>
      </c>
      <c r="C40">
        <f>ROUND(C39*1.15,0)</f>
        <v/>
      </c>
      <c r="D40" s="4">
        <f>'Cost Model'!D14*C40</f>
        <v/>
      </c>
      <c r="E40" s="14">
        <f>Inputs!C29*C40</f>
        <v/>
      </c>
      <c r="F40" s="14">
        <f>E40-D40</f>
        <v/>
      </c>
    </row>
    <row r="41">
      <c r="B41" t="n">
        <v>8</v>
      </c>
      <c r="C41">
        <f>ROUND(C40*1.15,0)</f>
        <v/>
      </c>
      <c r="D41" s="4">
        <f>'Cost Model'!D14*C41</f>
        <v/>
      </c>
      <c r="E41" s="14">
        <f>Inputs!C29*C41</f>
        <v/>
      </c>
      <c r="F41" s="14">
        <f>E41-D41</f>
        <v/>
      </c>
    </row>
    <row r="42">
      <c r="B42" t="n">
        <v>9</v>
      </c>
      <c r="C42">
        <f>ROUND(C41*1.15,0)</f>
        <v/>
      </c>
      <c r="D42" s="4">
        <f>'Cost Model'!D14*C42</f>
        <v/>
      </c>
      <c r="E42" s="14">
        <f>Inputs!C29*C42</f>
        <v/>
      </c>
      <c r="F42" s="14">
        <f>E42-D42</f>
        <v/>
      </c>
    </row>
    <row r="43">
      <c r="B43" t="n">
        <v>10</v>
      </c>
      <c r="C43">
        <f>ROUND(C42*1.15,0)</f>
        <v/>
      </c>
      <c r="D43" s="4">
        <f>'Cost Model'!D14*C43</f>
        <v/>
      </c>
      <c r="E43" s="14">
        <f>Inputs!C29*C43</f>
        <v/>
      </c>
      <c r="F43" s="14">
        <f>E43-D43</f>
        <v/>
      </c>
    </row>
    <row r="44">
      <c r="B44" t="n">
        <v>11</v>
      </c>
      <c r="C44">
        <f>ROUND(C43*1.15,0)</f>
        <v/>
      </c>
      <c r="D44" s="4">
        <f>'Cost Model'!D14*C44</f>
        <v/>
      </c>
      <c r="E44" s="14">
        <f>Inputs!C29*C44</f>
        <v/>
      </c>
      <c r="F44" s="14">
        <f>E44-D44</f>
        <v/>
      </c>
    </row>
    <row r="45">
      <c r="B45" t="n">
        <v>12</v>
      </c>
      <c r="C45">
        <f>ROUND(C44*1.15,0)</f>
        <v/>
      </c>
      <c r="D45" s="4">
        <f>'Cost Model'!D14*C45</f>
        <v/>
      </c>
      <c r="E45" s="14">
        <f>Inputs!C29*C45</f>
        <v/>
      </c>
      <c r="F45" s="14">
        <f>E45-D45</f>
        <v/>
      </c>
    </row>
  </sheetData>
  <mergeCells count="1">
    <mergeCell ref="B2:G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30" customWidth="1" min="3" max="3"/>
    <col width="60" customWidth="1" min="4" max="4"/>
  </cols>
  <sheetData>
    <row r="2" ht="30" customHeight="1">
      <c r="B2" s="8" t="inlineStr">
        <is>
          <t>Sources (pricing verified July 2026)</t>
        </is>
      </c>
    </row>
    <row r="4">
      <c r="B4" s="12" t="inlineStr">
        <is>
          <t>Data</t>
        </is>
      </c>
      <c r="C4" s="12" t="inlineStr">
        <is>
          <t>Source Name</t>
        </is>
      </c>
      <c r="D4" s="12" t="inlineStr">
        <is>
          <t>Source URL</t>
        </is>
      </c>
    </row>
    <row r="5">
      <c r="B5" s="17" t="inlineStr">
        <is>
          <t>Gemini 3.1 Flash-Lite $0.25/$1.50 per M, cache ~10%</t>
        </is>
      </c>
      <c r="C5" s="17" t="inlineStr">
        <is>
          <t>BenchLM Gemini pricing (synced from Google)</t>
        </is>
      </c>
      <c r="D5" s="17" t="inlineStr">
        <is>
          <t>https://benchlm.ai/google/api-pricing</t>
        </is>
      </c>
    </row>
    <row r="6">
      <c r="B6" s="17" t="inlineStr">
        <is>
          <t>Gemini caching 90% savings + Batch 50% off</t>
        </is>
      </c>
      <c r="C6" s="17" t="inlineStr">
        <is>
          <t>CostGoat Gemini guide</t>
        </is>
      </c>
      <c r="D6" s="17" t="inlineStr">
        <is>
          <t>https://costgoat.com/pricing/gemini-api</t>
        </is>
      </c>
    </row>
    <row r="7">
      <c r="B7" s="17" t="inlineStr">
        <is>
          <t>Qwen3-30B / Gemma-4-26B / neuron rates</t>
        </is>
      </c>
      <c r="C7" s="17" t="inlineStr">
        <is>
          <t>Cloudflare Workers AI pricing docs</t>
        </is>
      </c>
      <c r="D7" s="17" t="inlineStr">
        <is>
          <t>https://developers.cloudflare.com/workers-ai/platform/pricing/</t>
        </is>
      </c>
    </row>
    <row r="8">
      <c r="B8" s="17" t="inlineStr">
        <is>
          <t>Free neuron allocation (~10K/day)</t>
        </is>
      </c>
      <c r="C8" s="17" t="inlineStr">
        <is>
          <t>Cloudflare Workers AI docs</t>
        </is>
      </c>
      <c r="D8" s="17" t="inlineStr">
        <is>
          <t>https://developers.cloudflare.com/workers-ai/platform/pricing/</t>
        </is>
      </c>
    </row>
    <row r="9">
      <c r="B9" s="17" t="inlineStr">
        <is>
          <t>LLM market pricing context</t>
        </is>
      </c>
      <c r="C9" s="17" t="inlineStr">
        <is>
          <t>Opslyft LLM pricing 2026</t>
        </is>
      </c>
      <c r="D9" s="17" t="inlineStr">
        <is>
          <t>https://www.opslyft.com/blog/llm-pricing-comparison-cost-per-token</t>
        </is>
      </c>
    </row>
    <row r="11">
      <c r="B11" s="7" t="inlineStr">
        <is>
          <t>Note: re-verify rates on official pages before contract decisions; third-party trackers were used.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2026-07-18T07:45:10Z</dcterms:created>
  <dcterms:modified xmlns:dcterms="http://purl.org/dc/terms/" xmlns:xsi="http://www.w3.org/2001/XMLSchema-instance" xsi:type="dcterms:W3CDTF">2026-07-18T07:45:10Z</dcterms:modified>
</cp:coreProperties>
</file>